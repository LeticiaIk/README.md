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c\Downloads\"/>
    </mc:Choice>
  </mc:AlternateContent>
  <xr:revisionPtr revIDLastSave="0" documentId="13_ncr:1_{06D85A22-11ED-4337-BC7D-31ABE98574D5}" xr6:coauthVersionLast="47" xr6:coauthVersionMax="47" xr10:uidLastSave="{00000000-0000-0000-0000-000000000000}"/>
  <bookViews>
    <workbookView xWindow="-108" yWindow="-108" windowWidth="23256" windowHeight="12456" tabRatio="148" xr2:uid="{6F511FD2-B049-4862-97D8-E11A998A258C}"/>
  </bookViews>
  <sheets>
    <sheet name="Planilha1" sheetId="1" r:id="rId1"/>
    <sheet name="Planilha2" sheetId="2" r:id="rId2"/>
  </sheets>
  <definedNames>
    <definedName name="aporte">Planilha1!$B$12</definedName>
    <definedName name="patrimonio">Planilha1!$B$15</definedName>
    <definedName name="quantos_anos">Planilha1!$B$13</definedName>
    <definedName name="Rendimento_carteira">Planilha1!$B$8</definedName>
    <definedName name="taxa_mensal">Planilha1!$B$14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I2" i="2"/>
  <c r="B27" i="1"/>
  <c r="B15" i="1"/>
  <c r="B16" i="1" s="1"/>
  <c r="B9" i="1"/>
  <c r="B23" i="1"/>
  <c r="C23" i="1" s="1"/>
  <c r="B22" i="1"/>
  <c r="C22" i="1" s="1"/>
  <c r="B21" i="1"/>
  <c r="C21" i="1" s="1"/>
  <c r="B20" i="1"/>
  <c r="C20" i="1" s="1"/>
  <c r="B19" i="1"/>
  <c r="C19" i="1" s="1"/>
  <c r="C37" i="1" l="1"/>
</calcChain>
</file>

<file path=xl/sharedStrings.xml><?xml version="1.0" encoding="utf-8"?>
<sst xmlns="http://schemas.openxmlformats.org/spreadsheetml/2006/main" count="88" uniqueCount="52">
  <si>
    <t>Quanto investir por mês?</t>
  </si>
  <si>
    <t>Por quantos anos?</t>
  </si>
  <si>
    <t>Qual a taxa de rendimento mensal?</t>
  </si>
  <si>
    <t>Quanto de patrimonio vai acumular?</t>
  </si>
  <si>
    <t>Quanto vai receber de dividendos por mês?</t>
  </si>
  <si>
    <t>Investimento mensal</t>
  </si>
  <si>
    <t>quanto em 2 anos?</t>
  </si>
  <si>
    <t>Rendimento Carteira</t>
  </si>
  <si>
    <t>Salario</t>
  </si>
  <si>
    <t>Sugestão de investimento</t>
  </si>
  <si>
    <t>Cenários</t>
  </si>
  <si>
    <t>Dividendo</t>
  </si>
  <si>
    <t>CONFIGURAÇÕES</t>
  </si>
  <si>
    <t>quanto em 5 anos</t>
  </si>
  <si>
    <t>quanto em 10 anos</t>
  </si>
  <si>
    <t>quanto em 20 anos</t>
  </si>
  <si>
    <t>quanto em 30 anos</t>
  </si>
  <si>
    <t>Perfil</t>
  </si>
  <si>
    <t>Agressivo</t>
  </si>
  <si>
    <t>Valor a ser investido por mês</t>
  </si>
  <si>
    <t xml:space="preserve">Percentual sugerido </t>
  </si>
  <si>
    <t>Valores</t>
  </si>
  <si>
    <t>Papel</t>
  </si>
  <si>
    <t>Tijolo</t>
  </si>
  <si>
    <t>TIPO DE FII</t>
  </si>
  <si>
    <t>Hibridos</t>
  </si>
  <si>
    <t>FOFs</t>
  </si>
  <si>
    <t>Desenvolvimento</t>
  </si>
  <si>
    <t>Hotelarias</t>
  </si>
  <si>
    <t>Conservador</t>
  </si>
  <si>
    <t>Tipos de FII</t>
  </si>
  <si>
    <t>%</t>
  </si>
  <si>
    <t>Moderado</t>
  </si>
  <si>
    <t>Conservador-Papel</t>
  </si>
  <si>
    <t>Conservador-Tijolo</t>
  </si>
  <si>
    <t>Conservador-Hibridos</t>
  </si>
  <si>
    <t>Conservador-FOFs</t>
  </si>
  <si>
    <t>Conservador-Desenvolvimento</t>
  </si>
  <si>
    <t>Conservador-Hotelarias</t>
  </si>
  <si>
    <t>Moderado-Papel</t>
  </si>
  <si>
    <t>Moderado-Tijolo</t>
  </si>
  <si>
    <t>Moderado-Hibridos</t>
  </si>
  <si>
    <t>Moderado-FOFs</t>
  </si>
  <si>
    <t>Moderado-Desenvolvimento</t>
  </si>
  <si>
    <t>Moderado-Hotelarias</t>
  </si>
  <si>
    <t>Agressivo-Papel</t>
  </si>
  <si>
    <t>Agressivo-Tijolo</t>
  </si>
  <si>
    <t>Agressivo-Hibridos</t>
  </si>
  <si>
    <t>Agressivo-FOFs</t>
  </si>
  <si>
    <t>Agressivo-Desenvolvimento</t>
  </si>
  <si>
    <t>Agressivo-Hotelarias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</si>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</sst>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0" borderId="3" xfId="0" applyFont="1" applyBorder="1"/>
    <xf numFmtId="9" fontId="2" fillId="0" borderId="3" xfId="0" applyNumberFormat="1" applyFont="1" applyBorder="1"/>
    <xf numFmtId="0" fontId="4" fillId="4" borderId="3" xfId="0" applyFont="1" applyFill="1" applyBorder="1"/>
    <xf numFmtId="8" fontId="4" fillId="4" borderId="3" xfId="0" applyNumberFormat="1" applyFont="1" applyFill="1" applyBorder="1"/>
    <xf numFmtId="0" fontId="5" fillId="0" borderId="0" xfId="0" applyFont="1"/>
    <xf numFmtId="165" fontId="2" fillId="0" borderId="3" xfId="0" applyNumberFormat="1" applyFont="1" applyBorder="1"/>
    <xf numFmtId="10" fontId="2" fillId="0" borderId="3" xfId="0" applyNumberFormat="1" applyFont="1" applyBorder="1"/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5" fillId="6" borderId="1" xfId="0" applyFont="1" applyFill="1" applyBorder="1" applyAlignment="1"/>
    <xf numFmtId="0" fontId="2" fillId="6" borderId="4" xfId="0" applyFont="1" applyFill="1" applyBorder="1" applyAlignment="1"/>
    <xf numFmtId="0" fontId="5" fillId="6" borderId="2" xfId="0" applyFont="1" applyFill="1" applyBorder="1" applyAlignment="1"/>
    <xf numFmtId="8" fontId="2" fillId="0" borderId="3" xfId="0" applyNumberFormat="1" applyFont="1" applyBorder="1"/>
    <xf numFmtId="0" fontId="1" fillId="2" borderId="0" xfId="1"/>
    <xf numFmtId="0" fontId="4" fillId="7" borderId="0" xfId="0" applyFont="1" applyFill="1"/>
    <xf numFmtId="165" fontId="4" fillId="7" borderId="0" xfId="0" applyNumberFormat="1" applyFont="1" applyFill="1"/>
    <xf numFmtId="0" fontId="4" fillId="8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5" xfId="0" applyBorder="1"/>
    <xf numFmtId="0" fontId="2" fillId="0" borderId="5" xfId="0" applyFont="1" applyBorder="1"/>
    <xf numFmtId="9" fontId="0" fillId="0" borderId="5" xfId="0" applyNumberForma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44" fontId="2" fillId="7" borderId="0" xfId="0" applyNumberFormat="1" applyFont="1" applyFill="1"/>
    <xf numFmtId="165" fontId="4" fillId="8" borderId="0" xfId="0" applyNumberFormat="1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182880</xdr:colOff>
      <xdr:row>4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9237216-9E72-9B9B-6291-92B805FC804F}"/>
            </a:ext>
          </a:extLst>
        </xdr:cNvPr>
        <xdr:cNvSpPr/>
      </xdr:nvSpPr>
      <xdr:spPr>
        <a:xfrm>
          <a:off x="0" y="0"/>
          <a:ext cx="5494020" cy="845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000"/>
            <a:t>IVESTIMENTOS</a:t>
          </a:r>
        </a:p>
        <a:p>
          <a:pPr algn="ctr"/>
          <a:endParaRPr lang="pt-BR" sz="30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8DFA-EB8F-4873-919E-B28B8E99FC78}">
  <dimension ref="A5:I52"/>
  <sheetViews>
    <sheetView showGridLines="0" showRowColHeaders="0" tabSelected="1" topLeftCell="A20" workbookViewId="0">
      <selection activeCell="G42" sqref="G42"/>
    </sheetView>
  </sheetViews>
  <sheetFormatPr defaultColWidth="0" defaultRowHeight="14.4" x14ac:dyDescent="0.3"/>
  <cols>
    <col min="1" max="1" width="38.109375" style="2" bestFit="1" customWidth="1"/>
    <col min="2" max="2" width="26.5546875" style="2" bestFit="1" customWidth="1"/>
    <col min="3" max="3" width="15.21875" style="2" bestFit="1" customWidth="1"/>
    <col min="4" max="6" width="8.88671875" style="2" customWidth="1"/>
    <col min="7" max="8" width="22.109375" style="2" bestFit="1" customWidth="1"/>
    <col min="9" max="9" width="10.5546875" style="2" bestFit="1" customWidth="1"/>
    <col min="10" max="11" width="8.88671875" style="2" hidden="1" customWidth="1"/>
    <col min="12" max="16384" width="8.88671875" style="2" hidden="1"/>
  </cols>
  <sheetData>
    <row r="5" spans="1:5" ht="15" thickBot="1" x14ac:dyDescent="0.35"/>
    <row r="6" spans="1:5" x14ac:dyDescent="0.3">
      <c r="A6" s="12" t="s">
        <v>12</v>
      </c>
      <c r="B6" s="13"/>
    </row>
    <row r="7" spans="1:5" x14ac:dyDescent="0.3">
      <c r="A7" s="5" t="s">
        <v>8</v>
      </c>
      <c r="B7" s="10">
        <v>5000</v>
      </c>
      <c r="E7" s="3"/>
    </row>
    <row r="8" spans="1:5" x14ac:dyDescent="0.3">
      <c r="A8" s="5" t="s">
        <v>7</v>
      </c>
      <c r="B8" s="6">
        <v>0.01</v>
      </c>
      <c r="E8" s="3"/>
    </row>
    <row r="9" spans="1:5" x14ac:dyDescent="0.3">
      <c r="A9" s="5" t="s">
        <v>9</v>
      </c>
      <c r="B9" s="10">
        <f>B7*30%</f>
        <v>1500</v>
      </c>
      <c r="E9" s="3"/>
    </row>
    <row r="10" spans="1:5" x14ac:dyDescent="0.3">
      <c r="E10" s="3"/>
    </row>
    <row r="11" spans="1:5" x14ac:dyDescent="0.3">
      <c r="A11" s="4" t="s">
        <v>5</v>
      </c>
      <c r="B11" s="4"/>
    </row>
    <row r="12" spans="1:5" x14ac:dyDescent="0.3">
      <c r="A12" s="5" t="s">
        <v>0</v>
      </c>
      <c r="B12" s="10">
        <v>400</v>
      </c>
    </row>
    <row r="13" spans="1:5" x14ac:dyDescent="0.3">
      <c r="A13" s="5" t="s">
        <v>1</v>
      </c>
      <c r="B13" s="5">
        <v>10</v>
      </c>
    </row>
    <row r="14" spans="1:5" x14ac:dyDescent="0.3">
      <c r="A14" s="5" t="s">
        <v>2</v>
      </c>
      <c r="B14" s="11">
        <v>1.0800000000000001E-2</v>
      </c>
    </row>
    <row r="15" spans="1:5" x14ac:dyDescent="0.3">
      <c r="A15" s="7" t="s">
        <v>3</v>
      </c>
      <c r="B15" s="8">
        <f>FV(taxa_mensal,quantos_anos*12,aporte*-1)</f>
        <v>97383.066501920039</v>
      </c>
      <c r="D15" s="9"/>
    </row>
    <row r="16" spans="1:5" x14ac:dyDescent="0.3">
      <c r="A16" s="7" t="s">
        <v>4</v>
      </c>
      <c r="B16" s="8">
        <f>patrimonio*Rendimento_carteira</f>
        <v>973.83066501920041</v>
      </c>
    </row>
    <row r="17" spans="1:3" ht="15" thickBot="1" x14ac:dyDescent="0.35"/>
    <row r="18" spans="1:3" x14ac:dyDescent="0.3">
      <c r="A18" s="14" t="s">
        <v>10</v>
      </c>
      <c r="B18" s="15"/>
      <c r="C18" s="16" t="s">
        <v>11</v>
      </c>
    </row>
    <row r="19" spans="1:3" x14ac:dyDescent="0.3">
      <c r="A19" s="5" t="s">
        <v>6</v>
      </c>
      <c r="B19" s="17">
        <f>FV(B14,2*12,B12*-1)</f>
        <v>10892.345464232636</v>
      </c>
      <c r="C19" s="17">
        <f>B19*Rendimento_carteira</f>
        <v>108.92345464232636</v>
      </c>
    </row>
    <row r="20" spans="1:3" x14ac:dyDescent="0.3">
      <c r="A20" s="5" t="s">
        <v>13</v>
      </c>
      <c r="B20" s="17">
        <f>FV(B14,5*12,B12*-1)</f>
        <v>33521.607743703375</v>
      </c>
      <c r="C20" s="17">
        <f>B20*Rendimento_carteira</f>
        <v>335.21607743703373</v>
      </c>
    </row>
    <row r="21" spans="1:3" x14ac:dyDescent="0.3">
      <c r="A21" s="5" t="s">
        <v>14</v>
      </c>
      <c r="B21" s="17">
        <f>FV(B14,10*12,B12*-1)</f>
        <v>97383.066501920039</v>
      </c>
      <c r="C21" s="17">
        <f>B21*Rendimento_carteira</f>
        <v>973.83066501920041</v>
      </c>
    </row>
    <row r="22" spans="1:3" x14ac:dyDescent="0.3">
      <c r="A22" s="5" t="s">
        <v>15</v>
      </c>
      <c r="B22" s="17">
        <f>FV(B14,20*12,B12*-1)</f>
        <v>450819.59731940931</v>
      </c>
      <c r="C22" s="17">
        <f>B22*Rendimento_carteira</f>
        <v>4508.1959731940933</v>
      </c>
    </row>
    <row r="23" spans="1:3" x14ac:dyDescent="0.3">
      <c r="A23" s="5" t="s">
        <v>16</v>
      </c>
      <c r="B23" s="17">
        <f>FV(B14,30*12,B12*-1)</f>
        <v>1733561.9241267005</v>
      </c>
      <c r="C23" s="17">
        <f>B23*Rendimento_carteira</f>
        <v>17335.619241267006</v>
      </c>
    </row>
    <row r="26" spans="1:3" x14ac:dyDescent="0.3">
      <c r="A26" s="18" t="s">
        <v>17</v>
      </c>
      <c r="B26" s="18" t="s">
        <v>29</v>
      </c>
    </row>
    <row r="27" spans="1:3" x14ac:dyDescent="0.3">
      <c r="A27" s="19" t="s">
        <v>19</v>
      </c>
      <c r="B27" s="20">
        <f>aporte</f>
        <v>400</v>
      </c>
    </row>
    <row r="30" spans="1:3" x14ac:dyDescent="0.3">
      <c r="A30" s="21" t="s">
        <v>24</v>
      </c>
      <c r="B30" s="21" t="s">
        <v>20</v>
      </c>
      <c r="C30" s="21" t="s">
        <v>21</v>
      </c>
    </row>
    <row r="31" spans="1:3" x14ac:dyDescent="0.3">
      <c r="A31" t="s">
        <v>33</v>
      </c>
      <c r="B31" s="22">
        <v>0.3</v>
      </c>
      <c r="C31" s="28">
        <f>B31*B27</f>
        <v>120</v>
      </c>
    </row>
    <row r="32" spans="1:3" x14ac:dyDescent="0.3">
      <c r="A32" t="s">
        <v>34</v>
      </c>
      <c r="B32" s="22">
        <v>0.5</v>
      </c>
      <c r="C32" s="28">
        <f>B32*B27</f>
        <v>200</v>
      </c>
    </row>
    <row r="33" spans="1:3" x14ac:dyDescent="0.3">
      <c r="A33" t="s">
        <v>35</v>
      </c>
      <c r="B33" s="22">
        <v>0.1</v>
      </c>
      <c r="C33" s="28">
        <f>B33*B27</f>
        <v>40</v>
      </c>
    </row>
    <row r="34" spans="1:3" x14ac:dyDescent="0.3">
      <c r="A34" t="s">
        <v>36</v>
      </c>
      <c r="B34" s="22">
        <v>0.1</v>
      </c>
      <c r="C34" s="28">
        <f>B34*B27</f>
        <v>40</v>
      </c>
    </row>
    <row r="35" spans="1:3" x14ac:dyDescent="0.3">
      <c r="A35" t="s">
        <v>37</v>
      </c>
      <c r="B35" s="22">
        <v>0</v>
      </c>
      <c r="C35" s="28">
        <f>B35*B27</f>
        <v>0</v>
      </c>
    </row>
    <row r="36" spans="1:3" ht="15" thickBot="1" x14ac:dyDescent="0.35">
      <c r="A36" s="24" t="s">
        <v>38</v>
      </c>
      <c r="B36" s="27">
        <v>0</v>
      </c>
      <c r="C36" s="28">
        <f>B36*B27</f>
        <v>0</v>
      </c>
    </row>
    <row r="37" spans="1:3" x14ac:dyDescent="0.3">
      <c r="A37" s="21"/>
      <c r="B37" s="21"/>
      <c r="C37" s="29">
        <f>SUM(C31:C36)</f>
        <v>400</v>
      </c>
    </row>
    <row r="49" s="2" customFormat="1" x14ac:dyDescent="0.3"/>
    <row r="50" s="2" customFormat="1" x14ac:dyDescent="0.3"/>
    <row r="51" s="2" customFormat="1" x14ac:dyDescent="0.3"/>
    <row r="52" s="2" customFormat="1" x14ac:dyDescent="0.3"/>
  </sheetData>
  <mergeCells count="2">
    <mergeCell ref="A11:B11"/>
    <mergeCell ref="A6:B6"/>
  </mergeCells>
  <dataValidations count="1">
    <dataValidation type="list" allowBlank="1" showInputMessage="1" showErrorMessage="1" sqref="B26" xr:uid="{CAB5BC7B-DCBF-4CDB-A145-469D81CF592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39E8-B5B6-47C8-9C2B-26CFDF12E978}">
  <dimension ref="A1:I19"/>
  <sheetViews>
    <sheetView workbookViewId="0">
      <selection activeCell="A2" sqref="A2:A7"/>
    </sheetView>
  </sheetViews>
  <sheetFormatPr defaultRowHeight="14.4" x14ac:dyDescent="0.3"/>
  <cols>
    <col min="1" max="1" width="26" bestFit="1" customWidth="1"/>
    <col min="2" max="2" width="26" customWidth="1"/>
    <col min="3" max="3" width="15.21875" bestFit="1" customWidth="1"/>
    <col min="4" max="4" width="10.44140625" customWidth="1"/>
    <col min="8" max="8" width="14.109375" bestFit="1" customWidth="1"/>
  </cols>
  <sheetData>
    <row r="1" spans="1:9" x14ac:dyDescent="0.3">
      <c r="A1" t="s">
        <v>51</v>
      </c>
      <c r="B1" t="s">
        <v>17</v>
      </c>
      <c r="C1" t="s">
        <v>30</v>
      </c>
      <c r="D1" t="s">
        <v>31</v>
      </c>
    </row>
    <row r="2" spans="1:9" x14ac:dyDescent="0.3">
      <c r="A2" t="s">
        <v>33</v>
      </c>
      <c r="B2" t="s">
        <v>29</v>
      </c>
      <c r="C2" s="2" t="s">
        <v>22</v>
      </c>
      <c r="D2" s="22">
        <v>0.3</v>
      </c>
      <c r="H2" t="s">
        <v>40</v>
      </c>
      <c r="I2" s="1">
        <f>VLOOKUP(H2,A:D,4,0)</f>
        <v>0.4</v>
      </c>
    </row>
    <row r="3" spans="1:9" x14ac:dyDescent="0.3">
      <c r="A3" t="s">
        <v>34</v>
      </c>
      <c r="B3" t="s">
        <v>29</v>
      </c>
      <c r="C3" s="2" t="s">
        <v>23</v>
      </c>
      <c r="D3" s="22">
        <v>0.5</v>
      </c>
    </row>
    <row r="4" spans="1:9" x14ac:dyDescent="0.3">
      <c r="A4" t="s">
        <v>35</v>
      </c>
      <c r="B4" t="s">
        <v>29</v>
      </c>
      <c r="C4" s="2" t="s">
        <v>25</v>
      </c>
      <c r="D4" s="22">
        <v>0.1</v>
      </c>
    </row>
    <row r="5" spans="1:9" x14ac:dyDescent="0.3">
      <c r="A5" t="s">
        <v>36</v>
      </c>
      <c r="B5" t="s">
        <v>29</v>
      </c>
      <c r="C5" s="2" t="s">
        <v>26</v>
      </c>
      <c r="D5" s="22">
        <v>0.1</v>
      </c>
    </row>
    <row r="6" spans="1:9" x14ac:dyDescent="0.3">
      <c r="A6" t="s">
        <v>37</v>
      </c>
      <c r="B6" t="s">
        <v>29</v>
      </c>
      <c r="C6" s="2" t="s">
        <v>27</v>
      </c>
      <c r="D6" s="22">
        <v>0</v>
      </c>
    </row>
    <row r="7" spans="1:9" ht="15" thickBot="1" x14ac:dyDescent="0.35">
      <c r="A7" s="24" t="s">
        <v>38</v>
      </c>
      <c r="B7" s="24" t="s">
        <v>29</v>
      </c>
      <c r="C7" s="25" t="s">
        <v>28</v>
      </c>
      <c r="D7" s="27">
        <v>0</v>
      </c>
    </row>
    <row r="8" spans="1:9" x14ac:dyDescent="0.3">
      <c r="A8" t="s">
        <v>39</v>
      </c>
      <c r="B8" t="s">
        <v>32</v>
      </c>
      <c r="C8" s="2" t="s">
        <v>22</v>
      </c>
      <c r="D8" s="23">
        <v>0.32</v>
      </c>
    </row>
    <row r="9" spans="1:9" x14ac:dyDescent="0.3">
      <c r="A9" t="s">
        <v>40</v>
      </c>
      <c r="B9" t="s">
        <v>32</v>
      </c>
      <c r="C9" s="2" t="s">
        <v>23</v>
      </c>
      <c r="D9" s="23">
        <v>0.4</v>
      </c>
    </row>
    <row r="10" spans="1:9" x14ac:dyDescent="0.3">
      <c r="A10" t="s">
        <v>41</v>
      </c>
      <c r="B10" t="s">
        <v>32</v>
      </c>
      <c r="C10" s="2" t="s">
        <v>25</v>
      </c>
      <c r="D10" s="23">
        <v>0.08</v>
      </c>
    </row>
    <row r="11" spans="1:9" x14ac:dyDescent="0.3">
      <c r="A11" t="s">
        <v>42</v>
      </c>
      <c r="B11" t="s">
        <v>32</v>
      </c>
      <c r="C11" s="2" t="s">
        <v>26</v>
      </c>
      <c r="D11" s="23">
        <v>0.1</v>
      </c>
    </row>
    <row r="12" spans="1:9" x14ac:dyDescent="0.3">
      <c r="A12" t="s">
        <v>43</v>
      </c>
      <c r="B12" t="s">
        <v>32</v>
      </c>
      <c r="C12" s="2" t="s">
        <v>27</v>
      </c>
      <c r="D12" s="23">
        <v>0.1</v>
      </c>
    </row>
    <row r="13" spans="1:9" ht="15" thickBot="1" x14ac:dyDescent="0.35">
      <c r="A13" s="24" t="s">
        <v>44</v>
      </c>
      <c r="B13" s="24" t="s">
        <v>32</v>
      </c>
      <c r="C13" s="25" t="s">
        <v>28</v>
      </c>
      <c r="D13" s="26">
        <v>0</v>
      </c>
    </row>
    <row r="14" spans="1:9" x14ac:dyDescent="0.3">
      <c r="A14" t="s">
        <v>45</v>
      </c>
      <c r="B14" t="s">
        <v>18</v>
      </c>
      <c r="C14" s="2" t="s">
        <v>22</v>
      </c>
      <c r="D14" s="23">
        <v>0.5</v>
      </c>
    </row>
    <row r="15" spans="1:9" x14ac:dyDescent="0.3">
      <c r="A15" t="s">
        <v>46</v>
      </c>
      <c r="B15" t="s">
        <v>18</v>
      </c>
      <c r="C15" s="2" t="s">
        <v>23</v>
      </c>
      <c r="D15" s="23">
        <v>0.1</v>
      </c>
    </row>
    <row r="16" spans="1:9" x14ac:dyDescent="0.3">
      <c r="A16" t="s">
        <v>47</v>
      </c>
      <c r="B16" t="s">
        <v>18</v>
      </c>
      <c r="C16" s="2" t="s">
        <v>25</v>
      </c>
      <c r="D16" s="23">
        <v>0.05</v>
      </c>
    </row>
    <row r="17" spans="1:4" x14ac:dyDescent="0.3">
      <c r="A17" t="s">
        <v>48</v>
      </c>
      <c r="B17" t="s">
        <v>18</v>
      </c>
      <c r="C17" s="2" t="s">
        <v>26</v>
      </c>
      <c r="D17" s="23">
        <v>0.05</v>
      </c>
    </row>
    <row r="18" spans="1:4" x14ac:dyDescent="0.3">
      <c r="A18" t="s">
        <v>49</v>
      </c>
      <c r="B18" t="s">
        <v>18</v>
      </c>
      <c r="C18" s="2" t="s">
        <v>27</v>
      </c>
      <c r="D18" s="23">
        <v>0.2</v>
      </c>
    </row>
    <row r="19" spans="1:4" x14ac:dyDescent="0.3">
      <c r="A19" t="s">
        <v>50</v>
      </c>
      <c r="B19" t="s">
        <v>18</v>
      </c>
      <c r="C19" s="2" t="s">
        <v>28</v>
      </c>
      <c r="D19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quantos_anos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Ikebata</dc:creator>
  <cp:lastModifiedBy>Leticia Ikebata</cp:lastModifiedBy>
  <dcterms:created xsi:type="dcterms:W3CDTF">2026-10-17T18:48:55Z</dcterms:created>
  <dcterms:modified xsi:type="dcterms:W3CDTF">2026-10-17T20:47:33Z</dcterms:modified>
</cp:coreProperties>
</file>